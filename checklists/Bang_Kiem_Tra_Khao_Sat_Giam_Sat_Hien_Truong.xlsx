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_Hien_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000000"/>
      <sz val="11"/>
    </font>
    <font>
      <name val="Times New Roman"/>
      <b val="1"/>
      <color rgb="00000000"/>
      <sz val="11"/>
    </font>
    <font>
      <name val="Times New Roman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24" customWidth="1" min="4" max="4"/>
    <col width="30" customWidth="1" min="5" max="5"/>
    <col width="30" customWidth="1" min="6" max="6"/>
    <col width="16" customWidth="1" min="7" max="7"/>
    <col width="16" customWidth="1" min="8" max="8"/>
    <col width="22" customWidth="1" min="9" max="9"/>
  </cols>
  <sheetData>
    <row r="1">
      <c r="A1" s="1" t="inlineStr">
        <is>
          <t>BẢNG KIỂM TRA, KHẢO SÁT VÀ GIÁM SÁT CHẤT LƯỢNG TẠI HIỆN TRƯỜNG</t>
        </is>
      </c>
    </row>
    <row r="2">
      <c r="A2" s="2" t="inlineStr">
        <is>
          <t>Căn cứ pháp lý: Luật Xây dựng số 135/2025/QH15; Nghị định số 207/2026/NĐ-CP; Nghị định số 217/2026/NĐ-CP; Nghị định số 347/2026/NĐ-CP</t>
        </is>
      </c>
    </row>
    <row r="4">
      <c r="B4" s="3" t="inlineStr">
        <is>
          <t>Tổng số chỉ tiêu kiểm tra:</t>
        </is>
      </c>
      <c r="C4" s="4">
        <f>COUNTA(B10:B19)</f>
        <v/>
      </c>
      <c r="D4" s="3" t="inlineStr">
        <is>
          <t>Số chỉ tiêu ĐẠT (1):</t>
        </is>
      </c>
      <c r="E4" s="4">
        <f>COUNTIF(G10:G19, 1)</f>
        <v/>
      </c>
      <c r="F4" s="3" t="inlineStr">
        <is>
          <t>Số chỉ tiêu KHÔNG ĐẠT (0):</t>
        </is>
      </c>
      <c r="G4" s="4">
        <f>COUNTIF(G10:G19, 0)</f>
        <v/>
      </c>
    </row>
    <row r="5">
      <c r="B5" s="3" t="inlineStr">
        <is>
          <t>Tỷ lệ tuân thủ kỹ thuật (%):</t>
        </is>
      </c>
      <c r="C5" s="4">
        <f>IF(C4&gt;0, ROUND(E4/C4*100, 1), 0)</f>
        <v/>
      </c>
      <c r="D5" s="3" t="inlineStr">
        <is>
          <t>Kết luận đủ điều kiện nghiệm thu:</t>
        </is>
      </c>
      <c r="E5" s="4">
        <f>IF(G4=0, "ĐỦ ĐIỀU KIỆN CHUYỂN BƯỚC / NGHIỆM THU", "YÊU CẦU KHẮC PHỤC SAI SÓT (NCR)")</f>
        <v/>
      </c>
      <c r="F5" s="5" t="n"/>
      <c r="G5" s="5" t="n"/>
    </row>
    <row r="9" ht="32" customHeight="1">
      <c r="A9" s="6" t="inlineStr">
        <is>
          <t>TT</t>
        </is>
      </c>
      <c r="B9" s="6" t="inlineStr">
        <is>
          <t>Phân nhóm chuyên ngành</t>
        </is>
      </c>
      <c r="C9" s="6" t="inlineStr">
        <is>
          <t>Nội dung kiểm tra / khảo sát tại hiện trường</t>
        </is>
      </c>
      <c r="D9" s="6" t="inlineStr">
        <is>
          <t>Tiêu chuẩn / Quy chuẩn áp dụng</t>
        </is>
      </c>
      <c r="E9" s="6" t="inlineStr">
        <is>
          <t>Giá trị thiết kế / Yêu cầu</t>
        </is>
      </c>
      <c r="F9" s="6" t="inlineStr">
        <is>
          <t>Giá trị thực đo tại hiện trường</t>
        </is>
      </c>
      <c r="G9" s="6" t="inlineStr">
        <is>
          <t>Mã điểm đánh giá (1=Đạt, 0=K.Đạt)</t>
        </is>
      </c>
      <c r="H9" s="6" t="inlineStr">
        <is>
          <t>Kết luận tự động</t>
        </is>
      </c>
      <c r="I9" s="6" t="inlineStr">
        <is>
          <t>Ghi chú / Vị trí trục</t>
        </is>
      </c>
    </row>
    <row r="10" ht="28" customHeight="1">
      <c r="A10" s="7">
        <f>ROW()-9</f>
        <v/>
      </c>
      <c r="B10" s="8" t="inlineStr">
        <is>
          <t>Khảo sát &amp; Trắc địa</t>
        </is>
      </c>
      <c r="C10" s="9" t="inlineStr">
        <is>
          <t>Kiểm tra hệ thống lưới khống chế trắc địa và mốc cao độ chuẩn tại hiện trường</t>
        </is>
      </c>
      <c r="D10" s="8" t="inlineStr">
        <is>
          <t>TCVN 9398:2012; NĐ 217/2026/NĐ-CP</t>
        </is>
      </c>
      <c r="E10" s="9" t="inlineStr">
        <is>
          <t>Sai số tim trục &lt;= 5 mm; mốc cao độ ổn định</t>
        </is>
      </c>
      <c r="F10" s="9" t="inlineStr">
        <is>
          <t>Sai số đo kiểm chứng: +2.0 mm</t>
        </is>
      </c>
      <c r="G10" s="7" t="n">
        <v>1</v>
      </c>
      <c r="H10" s="7">
        <f>IF(G10=1, "ĐẠT", "KHÔNG ĐẠT")</f>
        <v/>
      </c>
      <c r="I10" s="9" t="inlineStr">
        <is>
          <t>Trục (A-D)/(1-6)</t>
        </is>
      </c>
    </row>
    <row r="11" ht="28" customHeight="1">
      <c r="A11" s="7">
        <f>ROW()-9</f>
        <v/>
      </c>
      <c r="B11" s="8" t="inlineStr">
        <is>
          <t>Khảo sát Hiện trạng</t>
        </is>
      </c>
      <c r="C11" s="9" t="inlineStr">
        <is>
          <t>Quan trắc lún và kiểm tra vết nứt công trình lân cận trước khi đào hố móng</t>
        </is>
      </c>
      <c r="D11" s="8" t="inlineStr">
        <is>
          <t>TCVN 9360:2012; NĐ 207/2026/NĐ-CP</t>
        </is>
      </c>
      <c r="E11" s="9" t="inlineStr">
        <is>
          <t>Ghi nhận đầy đủ biên bản + ảnh GPS hiện trạng</t>
        </is>
      </c>
      <c r="F11" s="9" t="inlineStr">
        <is>
          <t>Đã lập hồ sơ 04 hộ liền kề, độ nghiêng 0.08%</t>
        </is>
      </c>
      <c r="G11" s="7" t="n">
        <v>1</v>
      </c>
      <c r="H11" s="7">
        <f>IF(G11=1, "ĐẠT", "KHÔNG ĐẠT")</f>
        <v/>
      </c>
      <c r="I11" s="9" t="inlineStr">
        <is>
          <t>Ranh giới phía Đông &amp; Tây</t>
        </is>
      </c>
    </row>
    <row r="12" ht="28" customHeight="1">
      <c r="A12" s="7">
        <f>ROW()-9</f>
        <v/>
      </c>
      <c r="B12" s="8" t="inlineStr">
        <is>
          <t>Kết cấu BTCT</t>
        </is>
      </c>
      <c r="C12" s="9" t="inlineStr">
        <is>
          <t>Kiểm tra đường kính, khoảng cách và chiều dài nối chồng cốt thép dầm sàn</t>
        </is>
      </c>
      <c r="D12" s="8" t="inlineStr">
        <is>
          <t>TCVN 4453:1995; TCVN 5574:2018</t>
        </is>
      </c>
      <c r="E12" s="9" t="inlineStr">
        <is>
          <t>Thép chủ D25 CB500-V, nối chồng L &gt;= 40d (1000 mm)</t>
        </is>
      </c>
      <c r="F12" s="9" t="inlineStr">
        <is>
          <t>Đúng chủng loại D25 CB500-V, chiều dài nối 1020 mm</t>
        </is>
      </c>
      <c r="G12" s="7" t="n">
        <v>1</v>
      </c>
      <c r="H12" s="7">
        <f>IF(G12=1, "ĐẠT", "KHÔNG ĐẠT")</f>
        <v/>
      </c>
      <c r="I12" s="9" t="inlineStr">
        <is>
          <t>Dầm B1-G12 Trục (B-C)/3</t>
        </is>
      </c>
    </row>
    <row r="13" ht="28" customHeight="1">
      <c r="A13" s="7">
        <f>ROW()-9</f>
        <v/>
      </c>
      <c r="B13" s="8" t="inlineStr">
        <is>
          <t>Kết cấu BTCT</t>
        </is>
      </c>
      <c r="C13" s="9" t="inlineStr">
        <is>
          <t>Kiểm tra chiều dày lớp bê tông bảo vệ cốt thép chịu lực bằng con kê định hình</t>
        </is>
      </c>
      <c r="D13" s="8" t="inlineStr">
        <is>
          <t>TCVN 4453:1995 (Bảng 6)</t>
        </is>
      </c>
      <c r="E13" s="9" t="inlineStr">
        <is>
          <t>Dầm a = 25 mm (±5 mm); Sàn a = 15 mm (±3 mm)</t>
        </is>
      </c>
      <c r="F13" s="9" t="inlineStr">
        <is>
          <t>Dầm đạt 25-27 mm; Sàn đạt 15-16 mm</t>
        </is>
      </c>
      <c r="G13" s="7" t="n">
        <v>1</v>
      </c>
      <c r="H13" s="7">
        <f>IF(G13=1, "ĐẠT", "KHÔNG ĐẠT")</f>
        <v/>
      </c>
      <c r="I13" s="9" t="inlineStr">
        <is>
          <t>Sàn tầng hầm B1</t>
        </is>
      </c>
    </row>
    <row r="14" ht="28" customHeight="1">
      <c r="A14" s="7">
        <f>ROW()-9</f>
        <v/>
      </c>
      <c r="B14" s="8" t="inlineStr">
        <is>
          <t>Vật liệu hiện trường</t>
        </is>
      </c>
      <c r="C14" s="9" t="inlineStr">
        <is>
          <t>Kiểm tra độ sụt hỗn hợp bê tông thương phẩm B30 (M400) trước khi bơm</t>
        </is>
      </c>
      <c r="D14" s="8" t="inlineStr">
        <is>
          <t>TCVN 3106:2022; Điều 22 NĐ 207/2026/NĐ-CP</t>
        </is>
      </c>
      <c r="E14" s="9" t="inlineStr">
        <is>
          <t>Độ sụt thiết kế: 160 ± 20 mm; lấy 01 tổ mẫu / 50 m3</t>
        </is>
      </c>
      <c r="F14" s="9" t="inlineStr">
        <is>
          <t>Độ sụt thực đo: 165 mm; đã đúc 03 tổ mẫu</t>
        </is>
      </c>
      <c r="G14" s="7" t="n">
        <v>1</v>
      </c>
      <c r="H14" s="7">
        <f>IF(G14=1, "ĐẠT", "KHÔNG ĐẠT")</f>
        <v/>
      </c>
      <c r="I14" s="9" t="inlineStr">
        <is>
          <t>Trạm trộn xe số 01-03</t>
        </is>
      </c>
    </row>
    <row r="15" ht="28" customHeight="1">
      <c r="A15" s="7">
        <f>ROW()-9</f>
        <v/>
      </c>
      <c r="B15" s="8" t="inlineStr">
        <is>
          <t>Kiểm định NDT</t>
        </is>
      </c>
      <c r="C15" s="9" t="inlineStr">
        <is>
          <t>Kiểm tra cường độ bê tông cột ở tuổi 28 ngày bằng súng bật nẩy &amp; siêu âm</t>
        </is>
      </c>
      <c r="D15" s="8" t="inlineStr">
        <is>
          <t>TCVN 9334:2012; TCVN 9357:2012</t>
        </is>
      </c>
      <c r="E15" s="9" t="inlineStr">
        <is>
          <t>Cường độ hiện trường đạt cấp độ bền B30 (&gt;= 38.5 MPa)</t>
        </is>
      </c>
      <c r="F15" s="9" t="inlineStr">
        <is>
          <t>Cường độ quy đổi trung bình: 41.2 MPa</t>
        </is>
      </c>
      <c r="G15" s="7" t="n">
        <v>1</v>
      </c>
      <c r="H15" s="7">
        <f>IF(G15=1, "ĐẠT", "KHÔNG ĐẠT")</f>
        <v/>
      </c>
      <c r="I15" s="9" t="inlineStr">
        <is>
          <t>Cột C1-C6 Tầng hầm B1</t>
        </is>
      </c>
    </row>
    <row r="16" ht="28" customHeight="1">
      <c r="A16" s="7">
        <f>ROW()-9</f>
        <v/>
      </c>
      <c r="B16" s="8" t="inlineStr">
        <is>
          <t>Cơ điện (MEP)</t>
        </is>
      </c>
      <c r="C16" s="9" t="inlineStr">
        <is>
          <t>Thử áp lực thủy tĩnh đường ống cấp nước sinh hoạt và ống chữa cháy vách tường</t>
        </is>
      </c>
      <c r="D16" s="8" t="inlineStr">
        <is>
          <t>TCVN 4513:1988; TCVN 7336:2021</t>
        </is>
      </c>
      <c r="E16" s="9" t="inlineStr">
        <is>
          <t>Áp lực thử 1.0 MPa trong 60 phút, độ sụt áp = 0 MPa</t>
        </is>
      </c>
      <c r="F16" s="9" t="inlineStr">
        <is>
          <t>Duy trì 1.0 MPa trong 60 phút, không rò rỉ</t>
        </is>
      </c>
      <c r="G16" s="7" t="n">
        <v>1</v>
      </c>
      <c r="H16" s="7">
        <f>IF(G16=1, "ĐẠT", "KHÔNG ĐẠT")</f>
        <v/>
      </c>
      <c r="I16" s="9" t="inlineStr">
        <is>
          <t>Trục đứng kỹ thuật Nước</t>
        </is>
      </c>
    </row>
    <row r="17" ht="28" customHeight="1">
      <c r="A17" s="7">
        <f>ROW()-9</f>
        <v/>
      </c>
      <c r="B17" s="8" t="inlineStr">
        <is>
          <t>Cơ điện (MEP)</t>
        </is>
      </c>
      <c r="C17" s="9" t="inlineStr">
        <is>
          <t>Đo điện trở nối đất hệ thống chống sét trực tiếp và tiếp địa an toàn điện</t>
        </is>
      </c>
      <c r="D17" s="8" t="inlineStr">
        <is>
          <t>TCVN 9385:2012; TCVN 7447</t>
        </is>
      </c>
      <c r="E17" s="9" t="inlineStr">
        <is>
          <t>Tiếp địa chống sét R &lt;= 10 Ohm; An toàn điện R &lt;= 4 Ohm</t>
        </is>
      </c>
      <c r="F17" s="9" t="inlineStr">
        <is>
          <t>Chống sét R = 2.4 Ohm; An toàn điện R = 1.1 Ohm</t>
        </is>
      </c>
      <c r="G17" s="7" t="n">
        <v>1</v>
      </c>
      <c r="H17" s="7">
        <f>IF(G17=1, "ĐẠT", "KHÔNG ĐẠT")</f>
        <v/>
      </c>
      <c r="I17" s="9" t="inlineStr">
        <is>
          <t>Hố kiểm tra tiếp địa số 1-4</t>
        </is>
      </c>
    </row>
    <row r="18" ht="28" customHeight="1">
      <c r="A18" s="7">
        <f>ROW()-9</f>
        <v/>
      </c>
      <c r="B18" s="8" t="inlineStr">
        <is>
          <t>PCCC &amp; Thoát nạn</t>
        </is>
      </c>
      <c r="C18" s="9" t="inlineStr">
        <is>
          <t>Kiểm tra kích thước thông thủy lối thoát nạn và cửa chống cháy buồng thang bộ</t>
        </is>
      </c>
      <c r="D18" s="8" t="inlineStr">
        <is>
          <t>Luật 55/2024/QH15; QCVN 06:2022/BXD</t>
        </is>
      </c>
      <c r="E18" s="9" t="inlineStr">
        <is>
          <t>Rộng thông thủy cửa &gt;= 0.90 m, giới hạn chịu lửa EI 60</t>
        </is>
      </c>
      <c r="F18" s="9" t="inlineStr">
        <is>
          <t>Rộng thông thủy thực đo 0.95 m, đầy đủ tem KĐ PCCC</t>
        </is>
      </c>
      <c r="G18" s="7" t="n">
        <v>1</v>
      </c>
      <c r="H18" s="7">
        <f>IF(G18=1, "ĐẠT", "KHÔNG ĐẠT")</f>
        <v/>
      </c>
      <c r="I18" s="9" t="inlineStr">
        <is>
          <t>Buồng thang thoát nạn ST1, ST2</t>
        </is>
      </c>
    </row>
    <row r="19" ht="28" customHeight="1">
      <c r="A19" s="7">
        <f>ROW()-9</f>
        <v/>
      </c>
      <c r="B19" s="8" t="inlineStr">
        <is>
          <t>PCCC Liên động</t>
        </is>
      </c>
      <c r="C19" s="9" t="inlineStr">
        <is>
          <t>Thử nghiệm chênh áp buồng thang bộ N1/N3 và hút khói hành lang khi có tín hiệu báo cháy</t>
        </is>
      </c>
      <c r="D19" s="8" t="inlineStr">
        <is>
          <t>QCVN 06:2022/BXD; NĐ 347/2026/NĐ-CP</t>
        </is>
      </c>
      <c r="E19" s="9" t="inlineStr">
        <is>
          <t>Chênh áp buồng thang 20 - 50 Pa; liên động ngắt nguồn</t>
        </is>
      </c>
      <c r="F19" s="9" t="inlineStr">
        <is>
          <t>Chênh áp thực đo đạt 34 Pa; quạt khởi động sau 5 giây</t>
        </is>
      </c>
      <c r="G19" s="7" t="n">
        <v>1</v>
      </c>
      <c r="H19" s="7">
        <f>IF(G19=1, "ĐẠT", "KHÔNG ĐẠT")</f>
        <v/>
      </c>
      <c r="I19" s="9" t="inlineStr">
        <is>
          <t>Toàn bộ trục thang bộ thoát nạn</t>
        </is>
      </c>
    </row>
  </sheetData>
  <mergeCells count="3">
    <mergeCell ref="A1:I1"/>
    <mergeCell ref="E5:G5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2026-10-16T06:28:28Z</dcterms:created>
  <dcterms:modified xmlns:dcterms="http://purl.org/dc/terms/" xmlns:xsi="http://www.w3.org/2001/XMLSchema-instance" xsi:type="dcterms:W3CDTF">2026-10-16T06:28:28Z</dcterms:modified>
</cp:coreProperties>
</file>